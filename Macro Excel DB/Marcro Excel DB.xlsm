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Case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1" l="1"/>
  <c r="Y14" i="1" l="1"/>
  <c r="Y15" i="1"/>
  <c r="Y16" i="1"/>
  <c r="Y17" i="1"/>
  <c r="Y18" i="1"/>
  <c r="Y19" i="1"/>
  <c r="Y20" i="1"/>
  <c r="Y21" i="1"/>
  <c r="Y22" i="1"/>
  <c r="Y23" i="1"/>
  <c r="Y24" i="1"/>
  <c r="Y25" i="1"/>
  <c r="C7" i="1"/>
  <c r="Y13" i="1"/>
  <c r="X11" i="1" s="1"/>
  <c r="V27" i="1"/>
  <c r="E7" i="1" s="1"/>
  <c r="X27" i="1"/>
  <c r="U27" i="1"/>
  <c r="W15" i="1"/>
  <c r="W16" i="1"/>
  <c r="W17" i="1"/>
  <c r="W18" i="1"/>
  <c r="W19" i="1"/>
  <c r="W20" i="1"/>
  <c r="W21" i="1"/>
  <c r="W22" i="1"/>
  <c r="W23" i="1"/>
  <c r="W24" i="1"/>
  <c r="W25" i="1"/>
  <c r="W14" i="1"/>
  <c r="W27" i="1" l="1"/>
  <c r="G7" i="1" s="1"/>
</calcChain>
</file>

<file path=xl/sharedStrings.xml><?xml version="1.0" encoding="utf-8"?>
<sst xmlns="http://schemas.openxmlformats.org/spreadsheetml/2006/main" count="22" uniqueCount="18">
  <si>
    <t>month</t>
  </si>
  <si>
    <t>sales</t>
  </si>
  <si>
    <t>expenses</t>
  </si>
  <si>
    <t>Profits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</si>
  <si>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</si>
  <si>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</si>
  <si>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</si>
  <si>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</si>
  <si>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</si>
  <si>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</si>
  <si>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</si>
  <si>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</si>
  <si>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</si>
  <si>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</si>
  <si>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</si>
  <si>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</si>
  <si>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</t>
  </si>
  <si>
    <t>No.of Customers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</si>
</sst>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2">
    <xf numFmtId="0" fontId="0" fillId="0" borderId="0" xfId="0"/>
    <xf numFmtId="0" fontId="2" fillId="2" borderId="0" xfId="0" applyFont="1" applyFill="1"/>
    <xf numFmtId="164" fontId="0" fillId="0" borderId="0" xfId="1" applyNumberFormat="1" applyFont="1"/>
    <xf numFmtId="0" fontId="0" fillId="3" borderId="0" xfId="0" applyFill="1"/>
    <xf numFmtId="0" fontId="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/>
    <xf numFmtId="0" fontId="0" fillId="3" borderId="0" xfId="0" applyFont="1" applyFill="1"/>
    <xf numFmtId="164" fontId="5" fillId="3" borderId="0" xfId="0" applyNumberFormat="1" applyFont="1" applyFill="1" applyAlignment="1">
      <alignment horizontal="center" vertical="center"/>
    </xf>
    <xf numFmtId="0" fontId="0" fillId="0" borderId="0" xfId="0" applyFill="1"/>
    <xf numFmtId="0" fontId="2" fillId="2" borderId="0" xfId="0" applyFont="1" applyFill="1" applyAlignment="1">
      <alignment horizontal="center" vertical="center"/>
    </xf>
    <xf numFmtId="164" fontId="0" fillId="0" borderId="0" xfId="1" applyNumberFormat="1" applyFont="1" applyAlignment="1">
      <alignment horizontal="center" vertical="center"/>
    </xf>
  </cellXfs>
  <cellStyles count="2">
    <cellStyle name="Comma" xfId="1" builtinId="3"/>
    <cellStyle name="Normal" xfId="0" builtinId="0"/>
  </cellStyles>
  <dxfs count="1">
    <dxf>
      <font>
        <b/>
        <i val="0"/>
      </font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Case!$X$11</c:f>
          <c:strCache>
            <c:ptCount val="1"/>
            <c:pt idx="0">
              <c:v>Following Oprations expenses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Case!$Y$13</c:f>
              <c:strCache>
                <c:ptCount val="1"/>
                <c:pt idx="0">
                  <c:v>expenses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Case!$T$14:$T$25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Case!$Y$14:$Y$25</c:f>
              <c:numCache>
                <c:formatCode>General</c:formatCode>
                <c:ptCount val="12"/>
                <c:pt idx="0">
                  <c:v>120</c:v>
                </c:pt>
                <c:pt idx="1">
                  <c:v>300</c:v>
                </c:pt>
                <c:pt idx="2">
                  <c:v>258</c:v>
                </c:pt>
                <c:pt idx="3">
                  <c:v>153</c:v>
                </c:pt>
                <c:pt idx="4">
                  <c:v>252</c:v>
                </c:pt>
                <c:pt idx="5">
                  <c:v>98</c:v>
                </c:pt>
                <c:pt idx="6">
                  <c:v>222</c:v>
                </c:pt>
                <c:pt idx="7">
                  <c:v>555</c:v>
                </c:pt>
                <c:pt idx="8">
                  <c:v>400</c:v>
                </c:pt>
                <c:pt idx="9">
                  <c:v>153</c:v>
                </c:pt>
                <c:pt idx="10">
                  <c:v>147</c:v>
                </c:pt>
                <c:pt idx="11">
                  <c:v>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64-4C10-8442-9D1D4AD108F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7313728"/>
        <c:axId val="225901392"/>
      </c:barChart>
      <c:lineChart>
        <c:grouping val="standard"/>
        <c:varyColors val="0"/>
        <c:ser>
          <c:idx val="1"/>
          <c:order val="0"/>
          <c:tx>
            <c:strRef>
              <c:f>Case!$Y$13</c:f>
              <c:strCache>
                <c:ptCount val="1"/>
                <c:pt idx="0">
                  <c:v>expenses</c:v>
                </c:pt>
              </c:strCache>
            </c:strRef>
          </c:tx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6350"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 b="1">
                    <a:solidFill>
                      <a:schemeClr val="tx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Case!$T$14:$T$25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Case!$Y$14:$Y$25</c:f>
              <c:numCache>
                <c:formatCode>General</c:formatCode>
                <c:ptCount val="12"/>
                <c:pt idx="0">
                  <c:v>120</c:v>
                </c:pt>
                <c:pt idx="1">
                  <c:v>300</c:v>
                </c:pt>
                <c:pt idx="2">
                  <c:v>258</c:v>
                </c:pt>
                <c:pt idx="3">
                  <c:v>153</c:v>
                </c:pt>
                <c:pt idx="4">
                  <c:v>252</c:v>
                </c:pt>
                <c:pt idx="5">
                  <c:v>98</c:v>
                </c:pt>
                <c:pt idx="6">
                  <c:v>222</c:v>
                </c:pt>
                <c:pt idx="7">
                  <c:v>555</c:v>
                </c:pt>
                <c:pt idx="8">
                  <c:v>400</c:v>
                </c:pt>
                <c:pt idx="9">
                  <c:v>153</c:v>
                </c:pt>
                <c:pt idx="10">
                  <c:v>147</c:v>
                </c:pt>
                <c:pt idx="11">
                  <c:v>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764-4C10-8442-9D1D4AD108F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7313728"/>
        <c:axId val="225901392"/>
      </c:lineChart>
      <c:catAx>
        <c:axId val="217313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901392"/>
        <c:crosses val="autoZero"/>
        <c:auto val="1"/>
        <c:lblAlgn val="ctr"/>
        <c:lblOffset val="100"/>
        <c:noMultiLvlLbl val="0"/>
      </c:catAx>
      <c:valAx>
        <c:axId val="225901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31372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solidFill>
      <a:schemeClr val="accent4">
        <a:lumMod val="40000"/>
        <a:lumOff val="60000"/>
      </a:schemeClr>
    </a:solidFill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228601</xdr:colOff>
      <xdr:row>10</xdr:row>
      <xdr:rowOff>57151</xdr:rowOff>
    </xdr:from>
    <xdr:to>
      <xdr:col>9</xdr:col>
      <xdr:colOff>533400</xdr:colOff>
      <xdr:row>32</xdr:row>
      <xdr:rowOff>123825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438150</xdr:colOff>
      <xdr:row>11</xdr:row>
      <xdr:rowOff>28575</xdr:rowOff>
    </xdr:from>
    <xdr:to>
      <xdr:col>13</xdr:col>
      <xdr:colOff>495300</xdr:colOff>
      <xdr:row>14</xdr:row>
      <xdr:rowOff>66675</xdr:rowOff>
    </xdr:to>
    <xdr:sp macro="[0]!Sales" textlink="">
      <xdr:nvSpPr>
        <xdr:cNvPr id="5" name="Rounded Rectangle 4"/>
        <xdr:cNvSpPr/>
      </xdr:nvSpPr>
      <xdr:spPr>
        <a:xfrm>
          <a:off x="8905875" y="2152650"/>
          <a:ext cx="1885950" cy="60960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tx1"/>
              </a:solidFill>
            </a:rPr>
            <a:t>Sales</a:t>
          </a:r>
          <a:endParaRPr lang="en-US" sz="3200" b="1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438150</xdr:colOff>
      <xdr:row>17</xdr:row>
      <xdr:rowOff>88900</xdr:rowOff>
    </xdr:from>
    <xdr:to>
      <xdr:col>13</xdr:col>
      <xdr:colOff>495300</xdr:colOff>
      <xdr:row>20</xdr:row>
      <xdr:rowOff>127000</xdr:rowOff>
    </xdr:to>
    <xdr:sp macro="[0]!Expp" textlink="">
      <xdr:nvSpPr>
        <xdr:cNvPr id="10" name="Rounded Rectangle 9"/>
        <xdr:cNvSpPr/>
      </xdr:nvSpPr>
      <xdr:spPr>
        <a:xfrm>
          <a:off x="8905875" y="3355975"/>
          <a:ext cx="1885950" cy="60960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tx1"/>
              </a:solidFill>
            </a:rPr>
            <a:t>Expenses</a:t>
          </a:r>
          <a:endParaRPr lang="en-US" sz="3600" b="1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438150</xdr:colOff>
      <xdr:row>23</xdr:row>
      <xdr:rowOff>149225</xdr:rowOff>
    </xdr:from>
    <xdr:to>
      <xdr:col>13</xdr:col>
      <xdr:colOff>495300</xdr:colOff>
      <xdr:row>26</xdr:row>
      <xdr:rowOff>187325</xdr:rowOff>
    </xdr:to>
    <xdr:sp macro="[0]!Profits" textlink="">
      <xdr:nvSpPr>
        <xdr:cNvPr id="11" name="Rounded Rectangle 10"/>
        <xdr:cNvSpPr/>
      </xdr:nvSpPr>
      <xdr:spPr>
        <a:xfrm>
          <a:off x="8905875" y="4559300"/>
          <a:ext cx="1885950" cy="60960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tx1"/>
              </a:solidFill>
            </a:rPr>
            <a:t>Profits</a:t>
          </a:r>
        </a:p>
      </xdr:txBody>
    </xdr:sp>
    <xdr:clientData/>
  </xdr:twoCellAnchor>
  <xdr:twoCellAnchor>
    <xdr:from>
      <xdr:col>10</xdr:col>
      <xdr:colOff>438150</xdr:colOff>
      <xdr:row>30</xdr:row>
      <xdr:rowOff>19050</xdr:rowOff>
    </xdr:from>
    <xdr:to>
      <xdr:col>13</xdr:col>
      <xdr:colOff>495300</xdr:colOff>
      <xdr:row>33</xdr:row>
      <xdr:rowOff>57150</xdr:rowOff>
    </xdr:to>
    <xdr:sp macro="[0]!Noof" textlink="">
      <xdr:nvSpPr>
        <xdr:cNvPr id="12" name="Rounded Rectangle 11"/>
        <xdr:cNvSpPr/>
      </xdr:nvSpPr>
      <xdr:spPr>
        <a:xfrm>
          <a:off x="8905875" y="5762625"/>
          <a:ext cx="1885950" cy="60960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tx1"/>
              </a:solidFill>
            </a:rPr>
            <a:t>No.of</a:t>
          </a:r>
          <a:r>
            <a:rPr lang="en-US" sz="1800" b="1" baseline="0">
              <a:solidFill>
                <a:schemeClr val="tx1"/>
              </a:solidFill>
            </a:rPr>
            <a:t> Customers</a:t>
          </a:r>
          <a:endParaRPr lang="en-US" sz="18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Y58"/>
  <sheetViews>
    <sheetView tabSelected="1" workbookViewId="0">
      <selection activeCell="C43" sqref="C43"/>
    </sheetView>
  </sheetViews>
  <sheetFormatPr defaultRowHeight="15" x14ac:dyDescent="0.25"/>
  <cols>
    <col min="3" max="3" width="10.140625" bestFit="1" customWidth="1"/>
    <col min="4" max="4" width="5.42578125" bestFit="1" customWidth="1"/>
    <col min="5" max="5" width="18.140625" bestFit="1" customWidth="1"/>
    <col min="6" max="6" width="6.85546875" bestFit="1" customWidth="1"/>
    <col min="7" max="7" width="12.85546875" bestFit="1" customWidth="1"/>
    <col min="9" max="9" width="37" bestFit="1" customWidth="1"/>
    <col min="20" max="20" width="6.85546875" bestFit="1" customWidth="1"/>
    <col min="21" max="21" width="7" bestFit="1" customWidth="1"/>
    <col min="22" max="23" width="9.5703125" bestFit="1" customWidth="1"/>
    <col min="24" max="24" width="35" bestFit="1" customWidth="1"/>
    <col min="25" max="25" width="16" bestFit="1" customWidth="1"/>
  </cols>
  <sheetData>
    <row r="1" spans="1:25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9"/>
      <c r="R1" s="9"/>
      <c r="S1" s="9"/>
    </row>
    <row r="2" spans="1:25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9"/>
      <c r="R2" s="9"/>
      <c r="S2" s="9"/>
    </row>
    <row r="3" spans="1:25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9"/>
      <c r="R3" s="9"/>
      <c r="S3" s="9"/>
    </row>
    <row r="4" spans="1:25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9"/>
      <c r="R4" s="9"/>
      <c r="S4" s="9"/>
    </row>
    <row r="5" spans="1:25" ht="28.5" x14ac:dyDescent="0.45">
      <c r="A5" s="3"/>
      <c r="B5" s="3"/>
      <c r="C5" s="4" t="s">
        <v>1</v>
      </c>
      <c r="D5" s="5"/>
      <c r="E5" s="4" t="s">
        <v>2</v>
      </c>
      <c r="F5" s="5"/>
      <c r="G5" s="4" t="s">
        <v>3</v>
      </c>
      <c r="H5" s="5"/>
      <c r="I5" s="4" t="s">
        <v>17</v>
      </c>
      <c r="J5" s="6"/>
      <c r="K5" s="3"/>
      <c r="L5" s="3"/>
      <c r="M5" s="3"/>
      <c r="N5" s="3"/>
      <c r="O5" s="3"/>
      <c r="P5" s="3"/>
      <c r="Q5" s="9"/>
      <c r="R5" s="9"/>
      <c r="S5" s="9"/>
    </row>
    <row r="6" spans="1:25" s="9" customFormat="1" ht="3.75" customHeight="1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</row>
    <row r="7" spans="1:25" ht="21" x14ac:dyDescent="0.25">
      <c r="A7" s="3"/>
      <c r="B7" s="3"/>
      <c r="C7" s="8">
        <f>U27</f>
        <v>8040</v>
      </c>
      <c r="D7" s="3"/>
      <c r="E7" s="8">
        <f>V27</f>
        <v>2817</v>
      </c>
      <c r="F7" s="3"/>
      <c r="G7" s="8">
        <f>W27</f>
        <v>5223</v>
      </c>
      <c r="H7" s="3"/>
      <c r="I7" s="8">
        <f xml:space="preserve">             X27</f>
        <v>641</v>
      </c>
      <c r="J7" s="3"/>
      <c r="K7" s="3"/>
      <c r="L7" s="3"/>
      <c r="M7" s="3"/>
      <c r="N7" s="3"/>
      <c r="O7" s="3"/>
      <c r="P7" s="3"/>
      <c r="Q7" s="9"/>
      <c r="R7" s="9"/>
      <c r="S7" s="9"/>
    </row>
    <row r="8" spans="1:25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9"/>
      <c r="R8" s="9"/>
      <c r="S8" s="9"/>
    </row>
    <row r="9" spans="1:25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9"/>
      <c r="R9" s="9"/>
      <c r="S9" s="9"/>
    </row>
    <row r="10" spans="1:25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9"/>
      <c r="R10" s="9"/>
      <c r="S10" s="9"/>
    </row>
    <row r="11" spans="1:25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9"/>
      <c r="R11" s="9"/>
      <c r="S11" s="9"/>
      <c r="X11" t="str">
        <f>"Following Oprations " &amp; Y13</f>
        <v>Following Oprations expenses</v>
      </c>
    </row>
    <row r="12" spans="1:25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9"/>
      <c r="R12" s="9"/>
      <c r="S12" s="9"/>
    </row>
    <row r="13" spans="1:25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9"/>
      <c r="R13" s="9"/>
      <c r="S13" s="9"/>
      <c r="T13" s="1" t="s">
        <v>0</v>
      </c>
      <c r="U13" s="1" t="s">
        <v>1</v>
      </c>
      <c r="V13" s="1" t="s">
        <v>2</v>
      </c>
      <c r="W13" s="1" t="s">
        <v>3</v>
      </c>
      <c r="X13" s="10" t="s">
        <v>17</v>
      </c>
      <c r="Y13" t="str">
        <f>INDEX(U13:X13,$D$14)</f>
        <v>expenses</v>
      </c>
    </row>
    <row r="14" spans="1:25" x14ac:dyDescent="0.25">
      <c r="A14" s="3"/>
      <c r="B14" s="3"/>
      <c r="C14" s="3"/>
      <c r="D14" s="7">
        <v>2</v>
      </c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9"/>
      <c r="R14" s="9"/>
      <c r="S14" s="9"/>
      <c r="T14" t="s">
        <v>4</v>
      </c>
      <c r="U14" s="2">
        <v>227</v>
      </c>
      <c r="V14" s="2">
        <v>120</v>
      </c>
      <c r="W14" s="2">
        <f>U14-V14</f>
        <v>107</v>
      </c>
      <c r="X14" s="2">
        <v>15</v>
      </c>
      <c r="Y14">
        <f t="shared" ref="Y14:Y25" si="0">INDEX(U14:X14,$D$14)</f>
        <v>120</v>
      </c>
    </row>
    <row r="15" spans="1:25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9"/>
      <c r="R15" s="9"/>
      <c r="S15" s="9"/>
      <c r="T15" t="s">
        <v>5</v>
      </c>
      <c r="U15" s="2">
        <v>685</v>
      </c>
      <c r="V15" s="2">
        <v>300</v>
      </c>
      <c r="W15" s="2">
        <f t="shared" ref="W15:W25" si="1">U15-V15</f>
        <v>385</v>
      </c>
      <c r="X15" s="2">
        <v>25</v>
      </c>
      <c r="Y15">
        <f t="shared" si="0"/>
        <v>300</v>
      </c>
    </row>
    <row r="16" spans="1:25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9"/>
      <c r="R16" s="9"/>
      <c r="S16" s="9"/>
      <c r="T16" t="s">
        <v>6</v>
      </c>
      <c r="U16" s="2">
        <v>486</v>
      </c>
      <c r="V16" s="2">
        <v>258</v>
      </c>
      <c r="W16" s="2">
        <f t="shared" si="1"/>
        <v>228</v>
      </c>
      <c r="X16" s="2">
        <v>35</v>
      </c>
      <c r="Y16">
        <f t="shared" si="0"/>
        <v>258</v>
      </c>
    </row>
    <row r="17" spans="1:25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9"/>
      <c r="R17" s="9"/>
      <c r="S17" s="9"/>
      <c r="T17" t="s">
        <v>7</v>
      </c>
      <c r="U17" s="2">
        <v>358</v>
      </c>
      <c r="V17" s="2">
        <v>153</v>
      </c>
      <c r="W17" s="2">
        <f t="shared" si="1"/>
        <v>205</v>
      </c>
      <c r="X17" s="2">
        <v>12</v>
      </c>
      <c r="Y17">
        <f t="shared" si="0"/>
        <v>153</v>
      </c>
    </row>
    <row r="18" spans="1:25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9"/>
      <c r="R18" s="9"/>
      <c r="S18" s="9"/>
      <c r="T18" t="s">
        <v>8</v>
      </c>
      <c r="U18" s="2">
        <v>1212</v>
      </c>
      <c r="V18" s="2">
        <v>252</v>
      </c>
      <c r="W18" s="2">
        <f t="shared" si="1"/>
        <v>960</v>
      </c>
      <c r="X18" s="2">
        <v>111</v>
      </c>
      <c r="Y18">
        <f t="shared" si="0"/>
        <v>252</v>
      </c>
    </row>
    <row r="19" spans="1:25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9"/>
      <c r="R19" s="9"/>
      <c r="S19" s="9"/>
      <c r="T19" t="s">
        <v>9</v>
      </c>
      <c r="U19" s="2">
        <v>125</v>
      </c>
      <c r="V19" s="2">
        <v>98</v>
      </c>
      <c r="W19" s="2">
        <f t="shared" si="1"/>
        <v>27</v>
      </c>
      <c r="X19" s="2">
        <v>21</v>
      </c>
      <c r="Y19">
        <f t="shared" si="0"/>
        <v>98</v>
      </c>
    </row>
    <row r="20" spans="1:25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9"/>
      <c r="R20" s="9"/>
      <c r="S20" s="9"/>
      <c r="T20" t="s">
        <v>10</v>
      </c>
      <c r="U20" s="2">
        <v>1356</v>
      </c>
      <c r="V20" s="2">
        <v>222</v>
      </c>
      <c r="W20" s="2">
        <f t="shared" si="1"/>
        <v>1134</v>
      </c>
      <c r="X20" s="2">
        <v>132</v>
      </c>
      <c r="Y20">
        <f t="shared" si="0"/>
        <v>222</v>
      </c>
    </row>
    <row r="21" spans="1:25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9"/>
      <c r="R21" s="9"/>
      <c r="S21" s="9"/>
      <c r="T21" t="s">
        <v>11</v>
      </c>
      <c r="U21" s="2">
        <v>1600</v>
      </c>
      <c r="V21" s="2">
        <v>555</v>
      </c>
      <c r="W21" s="2">
        <f t="shared" si="1"/>
        <v>1045</v>
      </c>
      <c r="X21" s="2">
        <v>160</v>
      </c>
      <c r="Y21">
        <f t="shared" si="0"/>
        <v>555</v>
      </c>
    </row>
    <row r="22" spans="1:25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9"/>
      <c r="R22" s="9"/>
      <c r="S22" s="9"/>
      <c r="T22" t="s">
        <v>12</v>
      </c>
      <c r="U22" s="2">
        <v>658</v>
      </c>
      <c r="V22" s="2">
        <v>400</v>
      </c>
      <c r="W22" s="2">
        <f t="shared" si="1"/>
        <v>258</v>
      </c>
      <c r="X22" s="2">
        <v>52</v>
      </c>
      <c r="Y22">
        <f t="shared" si="0"/>
        <v>400</v>
      </c>
    </row>
    <row r="23" spans="1:25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9"/>
      <c r="R23" s="9"/>
      <c r="S23" s="9"/>
      <c r="T23" t="s">
        <v>13</v>
      </c>
      <c r="U23" s="2">
        <v>358</v>
      </c>
      <c r="V23" s="2">
        <v>153</v>
      </c>
      <c r="W23" s="2">
        <f t="shared" si="1"/>
        <v>205</v>
      </c>
      <c r="X23" s="2">
        <v>24</v>
      </c>
      <c r="Y23">
        <f t="shared" si="0"/>
        <v>153</v>
      </c>
    </row>
    <row r="24" spans="1:25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9"/>
      <c r="R24" s="9"/>
      <c r="S24" s="9"/>
      <c r="T24" t="s">
        <v>14</v>
      </c>
      <c r="U24" s="2">
        <v>412</v>
      </c>
      <c r="V24" s="2">
        <v>147</v>
      </c>
      <c r="W24" s="2">
        <f t="shared" si="1"/>
        <v>265</v>
      </c>
      <c r="X24" s="2">
        <v>42</v>
      </c>
      <c r="Y24">
        <f t="shared" si="0"/>
        <v>147</v>
      </c>
    </row>
    <row r="25" spans="1:25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9"/>
      <c r="R25" s="9"/>
      <c r="S25" s="9"/>
      <c r="T25" t="s">
        <v>15</v>
      </c>
      <c r="U25" s="2">
        <v>563</v>
      </c>
      <c r="V25" s="2">
        <v>159</v>
      </c>
      <c r="W25" s="2">
        <f t="shared" si="1"/>
        <v>404</v>
      </c>
      <c r="X25" s="2">
        <v>12</v>
      </c>
      <c r="Y25">
        <f t="shared" si="0"/>
        <v>159</v>
      </c>
    </row>
    <row r="26" spans="1:25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9"/>
      <c r="R26" s="9"/>
      <c r="S26" s="9"/>
      <c r="U26" s="2"/>
      <c r="V26" s="2"/>
      <c r="W26" s="2"/>
      <c r="X26" s="2"/>
      <c r="Y26" s="2"/>
    </row>
    <row r="27" spans="1:25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9"/>
      <c r="R27" s="9"/>
      <c r="S27" s="9"/>
      <c r="T27" t="s">
        <v>16</v>
      </c>
      <c r="U27" s="2">
        <f>SUM(U14:U26)</f>
        <v>8040</v>
      </c>
      <c r="V27" s="2">
        <f t="shared" ref="V27:X27" si="2">SUM(V14:V26)</f>
        <v>2817</v>
      </c>
      <c r="W27" s="2">
        <f t="shared" si="2"/>
        <v>5223</v>
      </c>
      <c r="X27" s="11">
        <f t="shared" si="2"/>
        <v>641</v>
      </c>
      <c r="Y27" s="2"/>
    </row>
    <row r="28" spans="1:25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9"/>
      <c r="R28" s="9"/>
      <c r="S28" s="9"/>
    </row>
    <row r="29" spans="1:25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9"/>
      <c r="R29" s="9"/>
      <c r="S29" s="9"/>
    </row>
    <row r="30" spans="1:25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9"/>
      <c r="R30" s="9"/>
      <c r="S30" s="9"/>
    </row>
    <row r="31" spans="1:25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9"/>
      <c r="R31" s="9"/>
      <c r="S31" s="9"/>
    </row>
    <row r="32" spans="1:25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9"/>
      <c r="R32" s="9"/>
      <c r="S32" s="9"/>
    </row>
    <row r="33" spans="1:19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9"/>
      <c r="R33" s="9"/>
      <c r="S33" s="9"/>
    </row>
    <row r="34" spans="1:19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9"/>
      <c r="R34" s="9"/>
      <c r="S34" s="9"/>
    </row>
    <row r="35" spans="1:19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9"/>
      <c r="R35" s="9"/>
      <c r="S35" s="9"/>
    </row>
    <row r="36" spans="1:19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9"/>
      <c r="R36" s="9"/>
      <c r="S36" s="9"/>
    </row>
    <row r="37" spans="1:19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9"/>
      <c r="R37" s="9"/>
      <c r="S37" s="9"/>
    </row>
    <row r="38" spans="1:19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9"/>
      <c r="R38" s="9"/>
      <c r="S38" s="9"/>
    </row>
    <row r="39" spans="1:19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9"/>
      <c r="R39" s="9"/>
      <c r="S39" s="9"/>
    </row>
    <row r="40" spans="1:19" s="3" customFormat="1" x14ac:dyDescent="0.25"/>
    <row r="41" spans="1:19" s="3" customFormat="1" x14ac:dyDescent="0.25"/>
    <row r="42" spans="1:19" s="3" customFormat="1" x14ac:dyDescent="0.25"/>
    <row r="43" spans="1:19" s="3" customFormat="1" x14ac:dyDescent="0.25"/>
    <row r="44" spans="1:19" s="3" customFormat="1" x14ac:dyDescent="0.25"/>
    <row r="45" spans="1:19" s="3" customFormat="1" x14ac:dyDescent="0.25"/>
    <row r="46" spans="1:19" s="3" customFormat="1" x14ac:dyDescent="0.25"/>
    <row r="47" spans="1:19" s="3" customFormat="1" x14ac:dyDescent="0.25"/>
    <row r="48" spans="1:19" s="3" customFormat="1" x14ac:dyDescent="0.25"/>
    <row r="49" s="3" customFormat="1" x14ac:dyDescent="0.25"/>
    <row r="50" s="3" customFormat="1" x14ac:dyDescent="0.25"/>
    <row r="51" s="3" customFormat="1" x14ac:dyDescent="0.25"/>
    <row r="52" s="3" customFormat="1" x14ac:dyDescent="0.25"/>
    <row r="53" s="3" customFormat="1" x14ac:dyDescent="0.25"/>
    <row r="54" s="3" customFormat="1" x14ac:dyDescent="0.25"/>
    <row r="55" s="3" customFormat="1" x14ac:dyDescent="0.25"/>
    <row r="56" s="3" customFormat="1" x14ac:dyDescent="0.25"/>
    <row r="57" s="3" customFormat="1" x14ac:dyDescent="0.25"/>
    <row r="58" s="3" customFormat="1" x14ac:dyDescent="0.25"/>
  </sheetData>
  <conditionalFormatting sqref="I5 G5 E5 C5">
    <cfRule type="cellIs" dxfId="0" priority="1" operator="equal">
      <formula>$Y$13</formula>
    </cfRule>
  </conditionalFormatting>
  <pageMargins left="0.7" right="0.7" top="0.75" bottom="0.75" header="0.3" footer="0.3"/>
  <pageSetup orientation="portrait" r:id="rId1"/>
  <ignoredErrors>
    <ignoredError sqref="Y13" evalError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2025-10-03T17:07:46Z</dcterms:modified>
</cp:coreProperties>
</file>